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<sst xmlns="http://schemas.openxmlformats.org/spreadsheetml/2006/main" xmlns:a="http://schemas.openxmlformats.org/drawingml/2006/main" xmlns:a15="http://schemas.microsoft.com/office/drawing/2012/main" xmlns:asvg="http://schemas.microsoft.com/office/drawing/2016/SVG/main" xmlns:c="http://schemas.openxmlformats.org/drawingml/2006/chart" xmlns:co="http://ncloudtech.com" xmlns:co-ooxml="http://ncloudtech.com/ooxml" xmlns:m="http://schemas.openxmlformats.org/officeDocument/2006/math" xmlns:mc="http://schemas.openxmlformats.org/markup-compatibility/2006" xmlns:o="urn:schemas-microsoft-com:office:office" xmlns:p="http://schemas.openxmlformats.org/presentationml/2006/main" xmlns:pic="http://schemas.openxmlformats.org/drawingml/2006/picture" xmlns:r="http://schemas.openxmlformats.org/officeDocument/2006/relationships" xmlns:s="http://schemas.openxmlformats.org/officeDocument/2006/sharedTypes" xmlns:sl="http://schemas.openxmlformats.org/schemaLibrary/2006/main" xmlns:v="urn:schemas-microsoft-com:vml" xmlns:w="http://schemas.openxmlformats.org/wordprocessingml/2006/main" xmlns:w10="urn:schemas-microsoft-com:office:word" xmlns:w14="http://schemas.microsoft.com/office/word/2010/wordml" xmlns:w15="http://schemas.microsoft.com/office/word/2012/wordml" xmlns:wp="http://schemas.openxmlformats.org/drawingml/2006/wordprocessingDrawing" xmlns:wpg="http://schemas.microsoft.com/office/word/2010/wordprocessingGroup" xmlns:wps="http://schemas.microsoft.com/office/word/2010/wordprocessingShape" xmlns:x="urn:schemas-microsoft-com:office:excel" xmlns:x12ac="http://schemas.microsoft.com/office/spreadsheetml/2011/1/ac" xmlns:x14="http://schemas.microsoft.com/office/spreadsheetml/2009/9/main" xmlns:xdr="http://schemas.openxmlformats.org/drawingml/2006/spreadsheetDrawing" xmlns:xm="http://schemas.microsoft.com/office/excel/2006/main" mc:Ignorable="co co-ooxml w14 x14 w15">
  <si>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</si>
  <si>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</si>
  <si>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 xml:space="preserve">Сумма для 2 </t>
  </si>
  <si>
    <t xml:space="preserve">Сумма для 3 </t>
  </si>
  <si>
    <t>Статистическая функция</t>
  </si>
  <si>
    <t>Для A(Лист 3 )</t>
  </si>
  <si>
    <t>Для B (Лист 3)</t>
  </si>
  <si>
    <t>Для C (Лист 3)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</si>
  <si>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</si>
  <si>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</si>
  <si>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</si>
  <si>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>Медиана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</si>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</sst>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# ?/?" formatCode="# ?/?" numFmtId="1002"/>
    <numFmt co:extendedFormatCode="0.00E+00" formatCode="0.00E+00" numFmtId="1001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Alignment="true" applyBorder="false" applyFill="false" applyFont="true" applyNumberFormat="true" borderId="0" fillId="0" fontId="1" numFmtId="1000" quotePrefix="false">
      <alignment horizontal="general" shrinkToFit="false" textRotation="0" vertical="bottom" wrapText="false"/>
    </xf>
  </cellStyleXfs>
  <cellXfs count="7">
    <xf applyAlignment="true" applyBorder="false" applyFill="false" applyFont="true" applyNumberFormat="true" borderId="0" fillId="0" fontId="1" numFmtId="1000" quotePrefix="false">
      <alignment horizontal="general" shrinkToFit="false" textRotation="0" vertical="bottom" wrapText="false"/>
    </xf>
    <xf applyAlignment="true" applyBorder="false" applyFill="false" applyFont="true" applyNumberFormat="true" borderId="0" fillId="0" fontId="1" numFmtId="1000" quotePrefix="false">
      <alignment horizontal="general" shrinkToFit="false" textRotation="0" vertical="bottom" wrapText="false"/>
      <protection hidden="false" locked="true"/>
    </xf>
    <xf applyAlignment="true" applyBorder="false" applyFill="false" applyFont="true" applyNumberFormat="true" borderId="0" fillId="0" fontId="2" numFmtId="1000" quotePrefix="false">
      <alignment horizontal="center" textRotation="0" vertical="bottom" wrapText="true"/>
      <protection hidden="false" locked="true"/>
    </xf>
    <xf applyAlignment="true" applyBorder="false" applyFill="false" applyFont="true" applyNumberFormat="true" borderId="0" fillId="0" fontId="1" numFmtId="1000" quotePrefix="false">
      <alignment horizontal="general" textRotation="0" vertical="bottom" wrapText="true"/>
      <protection hidden="false" locked="true"/>
    </xf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Border="false" applyFill="false" applyFont="true" applyNumberFormat="true" borderId="0" fillId="0" fontId="1" numFmtId="1002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76225" y="13334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L25"/>
  <sheetViews>
    <sheetView showZeros="true" workbookViewId="0"/>
  </sheetViews>
  <sheetFormatPr baseColWidth="8" customHeight="false" defaultColWidth="11.483813756830719" defaultRowHeight="15" zeroHeight="false"/>
  <cols>
    <col customWidth="true" hidden="false" max="1" min="1" outlineLevel="0" style="1" width="26.756541275617892"/>
    <col bestFit="true" customWidth="true" hidden="false" max="16384" min="2" outlineLevel="0" style="1" width="11.483813756830719"/>
  </cols>
  <sheetData>
    <row hidden="false" ht="15" outlineLevel="0" r="1">
      <c r="A1" s="1" t="s">
        <v>0</v>
      </c>
      <c r="B1" s="1" t="s">
        <v>1</v>
      </c>
    </row>
    <row hidden="false" ht="15" outlineLevel="0" r="2">
      <c r="A2" s="1" t="n">
        <v>0</v>
      </c>
      <c r="B2" s="1" t="n">
        <v>1</v>
      </c>
    </row>
    <row hidden="false" ht="15" outlineLevel="0" r="3">
      <c r="A3" s="1" t="n">
        <v>1</v>
      </c>
      <c r="B3" s="1" t="n">
        <v>3</v>
      </c>
    </row>
    <row hidden="false" ht="15" outlineLevel="0" r="4">
      <c r="A4" s="1" t="n">
        <v>2</v>
      </c>
      <c r="B4" s="1" t="n">
        <v>7</v>
      </c>
    </row>
    <row hidden="false" ht="15" outlineLevel="0" r="5">
      <c r="A5" s="1" t="n">
        <v>3</v>
      </c>
      <c r="B5" s="1" t="n">
        <v>15</v>
      </c>
    </row>
    <row hidden="false" ht="15" outlineLevel="0" r="6">
      <c r="A6" s="1" t="n">
        <v>4</v>
      </c>
      <c r="B6" s="1" t="n">
        <v>31</v>
      </c>
    </row>
    <row hidden="false" ht="15" outlineLevel="0" r="7">
      <c r="A7" s="1" t="n">
        <v>5</v>
      </c>
      <c r="B7" s="1" t="n">
        <v>63</v>
      </c>
    </row>
    <row hidden="false" ht="15" outlineLevel="0" r="8">
      <c r="A8" s="1" t="n">
        <v>6</v>
      </c>
      <c r="B8" s="1" t="n">
        <v>127</v>
      </c>
    </row>
    <row hidden="false" ht="15" outlineLevel="0" r="9">
      <c r="A9" s="1" t="n">
        <v>7</v>
      </c>
      <c r="B9" s="1" t="n">
        <v>255</v>
      </c>
      <c r="I9" s="1" t="n"/>
      <c r="J9" s="1" t="n"/>
    </row>
    <row hidden="false" ht="15" outlineLevel="0" r="10">
      <c r="A10" s="1" t="n">
        <v>8</v>
      </c>
      <c r="B10" s="1" t="n">
        <v>511</v>
      </c>
      <c r="I10" s="1" t="n"/>
      <c r="J10" s="1" t="n"/>
    </row>
    <row hidden="false" ht="15" outlineLevel="0" r="11">
      <c r="A11" s="1" t="n">
        <v>9</v>
      </c>
      <c r="B11" s="1" t="n">
        <v>1023</v>
      </c>
      <c r="I11" s="1" t="n"/>
      <c r="J11" s="1" t="n"/>
    </row>
    <row hidden="false" ht="15" outlineLevel="0" r="12">
      <c r="A12" s="1" t="n">
        <v>10</v>
      </c>
      <c r="B12" s="1" t="n">
        <v>2047</v>
      </c>
      <c r="I12" s="1" t="n"/>
      <c r="J12" s="1" t="n"/>
    </row>
    <row hidden="false" ht="15" outlineLevel="0" r="13">
      <c r="A13" s="1" t="n">
        <v>11</v>
      </c>
      <c r="B13" s="1" t="n">
        <v>4095</v>
      </c>
      <c r="I13" s="1" t="n"/>
      <c r="J13" s="1" t="n"/>
      <c r="K13" s="1" t="n"/>
      <c r="L13" s="1" t="n"/>
    </row>
    <row hidden="false" ht="15" outlineLevel="0" r="14">
      <c r="A14" s="1" t="n">
        <v>12</v>
      </c>
      <c r="B14" s="1" t="n">
        <v>8191</v>
      </c>
      <c r="I14" s="1" t="n"/>
      <c r="J14" s="1" t="n"/>
      <c r="K14" s="1" t="n"/>
      <c r="L14" s="1" t="n"/>
    </row>
    <row hidden="false" ht="15" outlineLevel="0" r="15">
      <c r="A15" s="1" t="n">
        <v>13</v>
      </c>
      <c r="B15" s="1" t="n">
        <v>16383</v>
      </c>
      <c r="I15" s="1" t="n"/>
      <c r="J15" s="1" t="n"/>
      <c r="K15" s="1" t="n"/>
      <c r="L15" s="1" t="n"/>
    </row>
    <row hidden="false" ht="15" outlineLevel="0" r="16">
      <c r="A16" s="1" t="n">
        <v>14</v>
      </c>
      <c r="B16" s="1" t="n">
        <v>32767</v>
      </c>
      <c r="I16" s="1" t="n"/>
      <c r="J16" s="1" t="n"/>
      <c r="K16" s="1" t="n"/>
      <c r="L16" s="1" t="n"/>
    </row>
    <row hidden="false" ht="15" outlineLevel="0" r="17">
      <c r="A17" s="1" t="n">
        <v>15</v>
      </c>
      <c r="B17" s="1" t="n">
        <v>65535</v>
      </c>
      <c r="I17" s="1" t="n"/>
      <c r="J17" s="1" t="n"/>
      <c r="K17" s="1" t="n"/>
      <c r="L17" s="1" t="n"/>
    </row>
    <row hidden="false" ht="15" outlineLevel="0" r="18">
      <c r="A18" s="1" t="n">
        <v>16</v>
      </c>
      <c r="B18" s="1" t="n">
        <v>131071</v>
      </c>
      <c r="I18" s="1" t="n"/>
      <c r="J18" s="1" t="n"/>
      <c r="K18" s="1" t="n"/>
      <c r="L18" s="1" t="n"/>
    </row>
    <row hidden="false" ht="15" outlineLevel="0" r="19">
      <c r="A19" s="1" t="n">
        <v>17</v>
      </c>
      <c r="B19" s="1" t="n">
        <v>262143</v>
      </c>
      <c r="I19" s="1" t="n"/>
      <c r="J19" s="1" t="n"/>
      <c r="K19" s="1" t="n"/>
      <c r="L19" s="1" t="n"/>
    </row>
    <row hidden="false" ht="15" outlineLevel="0" r="20">
      <c r="A20" s="1" t="n">
        <v>18</v>
      </c>
      <c r="B20" s="1" t="n">
        <v>524287</v>
      </c>
      <c r="I20" s="1" t="n"/>
      <c r="J20" s="1" t="n"/>
      <c r="K20" s="1" t="n"/>
      <c r="L20" s="1" t="n"/>
    </row>
    <row hidden="false" ht="15" outlineLevel="0" r="21">
      <c r="A21" s="1" t="n">
        <v>19</v>
      </c>
      <c r="B21" s="1" t="n">
        <v>1048575</v>
      </c>
      <c r="K21" s="1" t="n"/>
      <c r="L21" s="1" t="n"/>
    </row>
    <row hidden="false" ht="15" outlineLevel="0" r="22">
      <c r="A22" s="1" t="n">
        <v>20</v>
      </c>
      <c r="B22" s="1" t="n">
        <v>2097151</v>
      </c>
      <c r="K22" s="1" t="n"/>
      <c r="L22" s="1" t="n"/>
    </row>
    <row hidden="false" ht="15" outlineLevel="0" r="23">
      <c r="A23" s="1" t="n">
        <v>21</v>
      </c>
      <c r="B23" s="1" t="n">
        <v>4194303</v>
      </c>
      <c r="K23" s="1" t="n"/>
      <c r="L23" s="1" t="n"/>
    </row>
    <row hidden="false" ht="15" outlineLevel="0" r="24">
      <c r="A24" s="1" t="n">
        <v>22</v>
      </c>
      <c r="B24" s="1" t="n">
        <v>8388607</v>
      </c>
      <c r="K24" s="1" t="n"/>
      <c r="L24" s="1" t="n"/>
    </row>
    <row hidden="false" ht="15" outlineLevel="0" r="25">
      <c r="A25" s="1" t="n">
        <v>23</v>
      </c>
      <c r="B25" s="1" t="n">
        <v>16777215</v>
      </c>
    </row>
  </sheetData>
  <pageMargins bottom="0.59027779102325439" footer="0.5118110179901123" header="0.5118110179901123" left="0.59027779102325439" right="0.59027779102325439" top="0.59027779102325439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27"/>
  <sheetViews>
    <sheetView showZeros="true" workbookViewId="0"/>
  </sheetViews>
  <sheetFormatPr baseColWidth="8" customHeight="false" defaultColWidth="11.353936082588284" defaultRowHeight="12.800000190734863" zeroHeight="false"/>
  <cols>
    <col customWidth="true" hidden="false" max="1" min="1" outlineLevel="0" style="1" width="19.466075667694689"/>
  </cols>
  <sheetData>
    <row hidden="false" ht="52.200000762939453" outlineLevel="0" r="1">
      <c r="A1" s="2" t="s">
        <v>0</v>
      </c>
      <c r="B1" s="2" t="s">
        <v>1</v>
      </c>
    </row>
    <row hidden="false" ht="15" outlineLevel="0" r="2">
      <c r="A2" s="3" t="n">
        <v>0</v>
      </c>
      <c r="B2" s="3" t="n">
        <v>1</v>
      </c>
    </row>
    <row hidden="false" ht="15" outlineLevel="0" r="3">
      <c r="A3" s="3" t="n">
        <v>1</v>
      </c>
      <c r="B3" s="3" t="n">
        <v>4</v>
      </c>
    </row>
    <row hidden="false" ht="15" outlineLevel="0" r="4">
      <c r="A4" s="3" t="n">
        <v>2</v>
      </c>
      <c r="B4" s="3" t="n">
        <v>13</v>
      </c>
    </row>
    <row hidden="false" ht="15" outlineLevel="0" r="5">
      <c r="A5" s="3" t="n">
        <v>3</v>
      </c>
      <c r="B5" s="3" t="n">
        <v>40</v>
      </c>
    </row>
    <row hidden="false" ht="15" outlineLevel="0" r="6">
      <c r="A6" s="3" t="n">
        <v>4</v>
      </c>
      <c r="B6" s="3" t="n">
        <v>121</v>
      </c>
    </row>
    <row hidden="false" ht="15" outlineLevel="0" r="7">
      <c r="A7" s="3" t="n">
        <v>5</v>
      </c>
      <c r="B7" s="3" t="n">
        <v>364</v>
      </c>
    </row>
    <row hidden="false" ht="15" outlineLevel="0" r="8">
      <c r="A8" s="3" t="n">
        <v>6</v>
      </c>
      <c r="B8" s="3" t="n">
        <v>1093</v>
      </c>
    </row>
    <row hidden="false" ht="15" outlineLevel="0" r="9">
      <c r="A9" s="3" t="n">
        <v>7</v>
      </c>
      <c r="B9" s="3" t="n">
        <v>3280</v>
      </c>
    </row>
    <row hidden="false" ht="15" outlineLevel="0" r="10">
      <c r="A10" s="3" t="n">
        <v>8</v>
      </c>
      <c r="B10" s="3" t="n">
        <v>9841</v>
      </c>
    </row>
    <row hidden="false" ht="15" outlineLevel="0" r="11">
      <c r="A11" s="3" t="n">
        <v>9</v>
      </c>
      <c r="B11" s="3" t="n">
        <v>29524</v>
      </c>
    </row>
    <row hidden="false" ht="15" outlineLevel="0" r="12">
      <c r="A12" s="3" t="n">
        <v>10</v>
      </c>
      <c r="B12" s="3" t="n">
        <v>88573</v>
      </c>
    </row>
    <row hidden="false" ht="15" outlineLevel="0" r="13">
      <c r="A13" s="3" t="n">
        <v>11</v>
      </c>
      <c r="B13" s="3" t="n">
        <v>265720</v>
      </c>
    </row>
    <row hidden="false" ht="15" outlineLevel="0" r="14">
      <c r="A14" s="3" t="n">
        <v>12</v>
      </c>
      <c r="B14" s="3" t="n">
        <v>797161</v>
      </c>
    </row>
    <row hidden="false" ht="15" outlineLevel="0" r="15">
      <c r="A15" s="3" t="n">
        <v>13</v>
      </c>
      <c r="B15" s="3" t="n">
        <v>2391484</v>
      </c>
    </row>
    <row hidden="false" ht="15" outlineLevel="0" r="16">
      <c r="A16" s="3" t="n">
        <v>14</v>
      </c>
      <c r="B16" s="3" t="n">
        <v>7174453</v>
      </c>
    </row>
    <row hidden="false" ht="15" outlineLevel="0" r="17">
      <c r="A17" s="3" t="n">
        <v>15</v>
      </c>
      <c r="B17" s="3" t="n">
        <v>21523360</v>
      </c>
    </row>
    <row hidden="false" ht="15" outlineLevel="0" r="18">
      <c r="A18" s="3" t="n">
        <v>16</v>
      </c>
      <c r="B18" s="3" t="n">
        <v>64570081</v>
      </c>
    </row>
    <row hidden="false" ht="15" outlineLevel="0" r="19">
      <c r="A19" s="3" t="n">
        <v>17</v>
      </c>
      <c r="B19" s="3" t="n">
        <v>193710244</v>
      </c>
    </row>
    <row hidden="false" ht="15" outlineLevel="0" r="20">
      <c r="A20" s="3" t="n">
        <v>18</v>
      </c>
      <c r="B20" s="3" t="n">
        <v>581130733</v>
      </c>
    </row>
    <row hidden="false" ht="15" outlineLevel="0" r="21">
      <c r="A21" s="3" t="n">
        <v>19</v>
      </c>
      <c r="B21" s="3" t="n">
        <v>1743392200</v>
      </c>
    </row>
    <row hidden="false" ht="15" outlineLevel="0" r="22">
      <c r="A22" s="3" t="n">
        <v>20</v>
      </c>
      <c r="B22" s="3" t="n">
        <v>5230176601</v>
      </c>
    </row>
    <row hidden="false" ht="15" outlineLevel="0" r="23">
      <c r="A23" s="3" t="n">
        <v>21</v>
      </c>
      <c r="B23" s="3" t="n">
        <v>15690529804</v>
      </c>
    </row>
    <row hidden="false" ht="15" outlineLevel="0" r="24">
      <c r="A24" s="3" t="n">
        <v>22</v>
      </c>
      <c r="B24" s="3" t="n">
        <v>47071589413</v>
      </c>
    </row>
    <row hidden="false" ht="15" outlineLevel="0" r="25">
      <c r="A25" s="1" t="n">
        <v>23</v>
      </c>
      <c r="B25" s="1" t="n">
        <v>141214768240</v>
      </c>
    </row>
    <row hidden="false" ht="15" outlineLevel="0" r="27"/>
  </sheetData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&amp;C&amp;11&amp;"Times New Roman,Regular"&amp;A&amp;12&amp;"-,Regular"</oddHeader>
    <oddFooter>&amp;C&amp;11&amp;"Times New Roman,Regular"Страница &amp;P&amp;12&amp;"-,Regular"</oddFooter>
  </headerFooter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25"/>
  <sheetViews>
    <sheetView showZeros="true" workbookViewId="0"/>
  </sheetViews>
  <sheetFormatPr baseColWidth="8" customHeight="false" defaultColWidth="11.353936082588284" defaultRowHeight="12.800000190734863" zeroHeight="false"/>
  <sheetData>
    <row outlineLevel="0" r="1">
      <c r="A1" s="4" t="s">
        <v>0</v>
      </c>
      <c r="B1" s="4" t="s">
        <v>2</v>
      </c>
      <c r="C1" s="4" t="s">
        <v>3</v>
      </c>
    </row>
    <row outlineLevel="0" r="2">
      <c r="A2" s="4" t="n">
        <v>0</v>
      </c>
      <c r="B2" s="4" t="n">
        <f aca="false" ca="false" dt2D="false" dtr="false" t="normal">VLOOKUP(A2, 'Лист1'!$A$2:$B$25, 2, 0)</f>
        <v>1</v>
      </c>
      <c r="C2" s="4" t="n">
        <v>1</v>
      </c>
    </row>
    <row outlineLevel="0" r="3">
      <c r="A3" s="4" t="n">
        <v>1</v>
      </c>
      <c r="B3" s="4" t="n">
        <f aca="false" ca="false" dt2D="false" dtr="false" t="normal">VLOOKUP(A3, 'Лист1'!$A$2:$B$25, 2, 0)</f>
        <v>3</v>
      </c>
      <c r="C3" s="4" t="n">
        <v>4</v>
      </c>
    </row>
    <row outlineLevel="0" r="4">
      <c r="A4" s="4" t="n">
        <v>2</v>
      </c>
      <c r="B4" s="4" t="n">
        <f aca="false" ca="false" dt2D="false" dtr="false" t="normal">VLOOKUP(A4, 'Лист1'!$A$2:$B$25, 2, 0)</f>
        <v>7</v>
      </c>
      <c r="C4" s="4" t="n">
        <v>13</v>
      </c>
    </row>
    <row outlineLevel="0" r="5">
      <c r="A5" s="4" t="n">
        <v>3</v>
      </c>
      <c r="B5" s="4" t="n">
        <f aca="false" ca="false" dt2D="false" dtr="false" t="normal">VLOOKUP(A5, 'Лист1'!$A$2:$B$25, 2, 0)</f>
        <v>15</v>
      </c>
      <c r="C5" s="4" t="n">
        <v>40</v>
      </c>
    </row>
    <row outlineLevel="0" r="6">
      <c r="A6" s="4" t="n">
        <v>4</v>
      </c>
      <c r="B6" s="4" t="n">
        <f aca="false" ca="false" dt2D="false" dtr="false" t="normal">VLOOKUP(A6, 'Лист1'!$A$2:$B$25, 2, 0)</f>
        <v>31</v>
      </c>
      <c r="C6" s="4" t="n">
        <v>121</v>
      </c>
    </row>
    <row outlineLevel="0" r="7">
      <c r="A7" s="4" t="n">
        <v>5</v>
      </c>
      <c r="B7" s="4" t="n">
        <f aca="false" ca="false" dt2D="false" dtr="false" t="normal">VLOOKUP(A7, 'Лист1'!$A$2:$B$25, 2, 0)</f>
        <v>63</v>
      </c>
      <c r="C7" s="4" t="n">
        <v>364</v>
      </c>
    </row>
    <row outlineLevel="0" r="8">
      <c r="A8" s="4" t="n">
        <v>6</v>
      </c>
      <c r="B8" s="4" t="n">
        <f aca="false" ca="false" dt2D="false" dtr="false" t="normal">VLOOKUP(A8, 'Лист1'!$A$2:$B$25, 2, 0)</f>
        <v>127</v>
      </c>
      <c r="C8" s="4" t="n">
        <v>1093</v>
      </c>
    </row>
    <row outlineLevel="0" r="9">
      <c r="A9" s="4" t="n">
        <v>7</v>
      </c>
      <c r="B9" s="4" t="n">
        <f aca="false" ca="false" dt2D="false" dtr="false" t="normal">VLOOKUP(A9, 'Лист1'!$A$2:$B$25, 2, 0)</f>
        <v>255</v>
      </c>
      <c r="C9" s="4" t="n">
        <v>3280</v>
      </c>
    </row>
    <row outlineLevel="0" r="10">
      <c r="A10" s="4" t="n">
        <v>8</v>
      </c>
      <c r="B10" s="4" t="n">
        <f aca="false" ca="false" dt2D="false" dtr="false" t="normal">VLOOKUP(A10, 'Лист1'!$A$2:$B$25, 2, 0)</f>
        <v>511</v>
      </c>
      <c r="C10" s="4" t="n">
        <v>9841</v>
      </c>
    </row>
    <row outlineLevel="0" r="11">
      <c r="A11" s="4" t="n">
        <v>9</v>
      </c>
      <c r="B11" s="4" t="n">
        <f aca="false" ca="false" dt2D="false" dtr="false" t="normal">VLOOKUP(A11, 'Лист1'!$A$2:$B$25, 2, 0)</f>
        <v>1023</v>
      </c>
      <c r="C11" s="4" t="n">
        <v>29524</v>
      </c>
    </row>
    <row outlineLevel="0" r="12">
      <c r="A12" s="4" t="n">
        <v>10</v>
      </c>
      <c r="B12" s="4" t="n">
        <f aca="false" ca="false" dt2D="false" dtr="false" t="normal">VLOOKUP(A12, 'Лист1'!$A$2:$B$25, 2, 0)</f>
        <v>2047</v>
      </c>
      <c r="C12" s="4" t="n">
        <v>88573</v>
      </c>
    </row>
    <row outlineLevel="0" r="13">
      <c r="A13" s="4" t="n">
        <v>11</v>
      </c>
      <c r="B13" s="4" t="n">
        <f aca="false" ca="false" dt2D="false" dtr="false" t="normal">VLOOKUP(A13, 'Лист1'!$A$2:$B$25, 2, 0)</f>
        <v>4095</v>
      </c>
      <c r="C13" s="4" t="n">
        <v>265720</v>
      </c>
    </row>
    <row outlineLevel="0" r="14">
      <c r="A14" s="4" t="n">
        <v>12</v>
      </c>
      <c r="B14" s="4" t="n">
        <f aca="false" ca="false" dt2D="false" dtr="false" t="normal">VLOOKUP(A14, 'Лист1'!$A$2:$B$25, 2, 0)</f>
        <v>8191</v>
      </c>
      <c r="C14" s="4" t="n">
        <v>797161</v>
      </c>
    </row>
    <row outlineLevel="0" r="15">
      <c r="A15" s="4" t="n">
        <v>13</v>
      </c>
      <c r="B15" s="4" t="n">
        <f aca="false" ca="false" dt2D="false" dtr="false" t="normal">VLOOKUP(A15, 'Лист1'!$A$2:$B$25, 2, 0)</f>
        <v>16383</v>
      </c>
      <c r="C15" s="4" t="n">
        <v>2391484</v>
      </c>
    </row>
    <row outlineLevel="0" r="16">
      <c r="A16" s="4" t="n">
        <v>14</v>
      </c>
      <c r="B16" s="4" t="n">
        <f aca="false" ca="false" dt2D="false" dtr="false" t="normal">VLOOKUP(A16, 'Лист1'!$A$2:$B$25, 2, 0)</f>
        <v>32767</v>
      </c>
      <c r="C16" s="4" t="n">
        <v>7174453</v>
      </c>
    </row>
    <row outlineLevel="0" r="17">
      <c r="A17" s="4" t="n">
        <v>15</v>
      </c>
      <c r="B17" s="4" t="n">
        <f aca="false" ca="false" dt2D="false" dtr="false" t="normal">VLOOKUP(A17, 'Лист1'!$A$2:$B$25, 2, 0)</f>
        <v>65535</v>
      </c>
      <c r="C17" s="4" t="n">
        <v>21523360</v>
      </c>
    </row>
    <row outlineLevel="0" r="18">
      <c r="A18" s="4" t="n">
        <v>16</v>
      </c>
      <c r="B18" s="4" t="n">
        <f aca="false" ca="false" dt2D="false" dtr="false" t="normal">VLOOKUP(A18, 'Лист1'!$A$2:$B$25, 2, 0)</f>
        <v>131071</v>
      </c>
      <c r="C18" s="4" t="n">
        <v>64570081</v>
      </c>
    </row>
    <row outlineLevel="0" r="19">
      <c r="A19" s="4" t="n">
        <v>17</v>
      </c>
      <c r="B19" s="4" t="n">
        <f aca="false" ca="false" dt2D="false" dtr="false" t="normal">VLOOKUP(A19, 'Лист1'!$A$2:$B$25, 2, 0)</f>
        <v>262143</v>
      </c>
      <c r="C19" s="4" t="n">
        <v>193710244</v>
      </c>
    </row>
    <row outlineLevel="0" r="20">
      <c r="A20" s="4" t="n">
        <v>18</v>
      </c>
      <c r="B20" s="4" t="n">
        <f aca="false" ca="false" dt2D="false" dtr="false" t="normal">VLOOKUP(A20, 'Лист1'!$A$2:$B$25, 2, 0)</f>
        <v>524287</v>
      </c>
      <c r="C20" s="4" t="n">
        <v>581130733</v>
      </c>
    </row>
    <row outlineLevel="0" r="21">
      <c r="A21" s="4" t="n">
        <v>19</v>
      </c>
      <c r="B21" s="4" t="n">
        <f aca="false" ca="false" dt2D="false" dtr="false" t="normal">VLOOKUP(A21, 'Лист1'!$A$2:$B$25, 2, 0)</f>
        <v>1048575</v>
      </c>
      <c r="C21" s="4" t="n">
        <v>1743392200</v>
      </c>
    </row>
    <row outlineLevel="0" r="22">
      <c r="A22" s="4" t="n">
        <v>20</v>
      </c>
      <c r="B22" s="4" t="n">
        <f aca="false" ca="false" dt2D="false" dtr="false" t="normal">VLOOKUP(A22, 'Лист1'!$A$2:$B$25, 2, 0)</f>
        <v>2097151</v>
      </c>
      <c r="C22" s="4" t="n">
        <v>5230176601</v>
      </c>
    </row>
    <row outlineLevel="0" r="23">
      <c r="A23" s="4" t="n">
        <v>21</v>
      </c>
      <c r="B23" s="4" t="n">
        <f aca="false" ca="false" dt2D="false" dtr="false" t="normal">VLOOKUP(A23, 'Лист1'!$A$2:$B$25, 2, 0)</f>
        <v>4194303</v>
      </c>
      <c r="C23" s="4" t="n">
        <v>15690529804</v>
      </c>
    </row>
    <row outlineLevel="0" r="24">
      <c r="A24" s="4" t="n">
        <v>22</v>
      </c>
      <c r="B24" s="4" t="n">
        <f aca="false" ca="false" dt2D="false" dtr="false" t="normal">VLOOKUP(A24, 'Лист1'!$A$2:$B$25, 2, 0)</f>
        <v>8388607</v>
      </c>
      <c r="C24" s="4" t="n">
        <v>47071589413</v>
      </c>
    </row>
    <row outlineLevel="0" r="25">
      <c r="A25" s="4" t="n">
        <v>23</v>
      </c>
      <c r="B25" s="4" t="n">
        <f aca="false" ca="false" dt2D="false" dtr="false" t="normal">VLOOKUP(A25, 'Лист1'!$A$2:$B$25, 2, 0)</f>
        <v>16777215</v>
      </c>
      <c r="C25" s="5" t="n">
        <v>141000000000</v>
      </c>
    </row>
  </sheetData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&amp;C&amp;11&amp;"Times New Roman,Regular"&amp;A&amp;12&amp;"-,Regular"</oddHeader>
    <oddFooter>&amp;C&amp;11&amp;"Times New Roman,Regular"Страница &amp;P&amp;12&amp;"-,Regular"</oddFooter>
  </headerFooter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0.332592554624181"/>
    <col customWidth="true" max="2" min="2" outlineLevel="0" width="27.139687790278593"/>
    <col customWidth="true" max="3" min="3" outlineLevel="0" width="28.203986671734885"/>
    <col customWidth="true" max="4" min="4" outlineLevel="0" width="28.736142879110293"/>
  </cols>
  <sheetData>
    <row outlineLevel="0" r="1">
      <c r="A1" s="4" t="s">
        <v>4</v>
      </c>
      <c r="B1" s="4" t="s">
        <v>5</v>
      </c>
      <c r="C1" s="4" t="s">
        <v>6</v>
      </c>
      <c r="D1" s="4" t="s">
        <v>7</v>
      </c>
    </row>
    <row outlineLevel="0" r="2">
      <c r="A2" s="4" t="s">
        <v>8</v>
      </c>
      <c r="B2" s="4" t="n">
        <f aca="false" ca="false" dt2D="false" dtr="false" t="normal">AVERAGE('Лист3'!A2:A25)</f>
        <v>11.5</v>
      </c>
      <c r="C2" s="4" t="n">
        <f aca="false" ca="false" dt2D="false" dtr="false" t="normal">AVERAGE('Лист3'!B2:B25)</f>
        <v>1398100.25</v>
      </c>
      <c r="D2" s="4" t="n">
        <f aca="false" ca="false" dt2D="false" dtr="false" t="normal">AVERAGE('Лист3'!C2:C25)</f>
        <v>8816974337.833334</v>
      </c>
    </row>
    <row outlineLevel="0" r="3">
      <c r="A3" s="4" t="s">
        <v>9</v>
      </c>
      <c r="B3" s="4" t="n">
        <f aca="false" ca="false" dt2D="false" dtr="false" t="normal">MAX('Лист3'!A2:A25)</f>
        <v>23</v>
      </c>
      <c r="C3" s="4" t="n">
        <f aca="false" ca="false" dt2D="false" dtr="false" t="normal">MAX('Лист3'!B2:B25)</f>
        <v>16777215</v>
      </c>
      <c r="D3" s="4" t="n">
        <f aca="false" ca="false" dt2D="false" dtr="false" t="normal">MAX('Лист3'!C2:C25)</f>
        <v>141000000000</v>
      </c>
    </row>
    <row outlineLevel="0" r="4">
      <c r="A4" s="4" t="s">
        <v>10</v>
      </c>
      <c r="B4" s="4" t="n">
        <f aca="false" ca="false" dt2D="false" dtr="false" t="normal">MIN('Лист3'!A2:A25)</f>
        <v>0</v>
      </c>
      <c r="C4" s="4" t="n">
        <f aca="false" ca="false" dt2D="false" dtr="false" t="normal">MIN('Лист3'!B2:B25)</f>
        <v>1</v>
      </c>
      <c r="D4" s="4" t="n">
        <f aca="false" ca="false" dt2D="false" dtr="false" t="normal">MIN('Лист3'!C2:C25)</f>
        <v>1</v>
      </c>
    </row>
    <row outlineLevel="0" r="5">
      <c r="A5" s="4" t="s">
        <v>11</v>
      </c>
      <c r="B5" s="4" t="n">
        <f aca="false" ca="false" dt2D="false" dtr="false" t="normal">MEDIAN('Лист3'!A2:A25)</f>
        <v>11.5</v>
      </c>
      <c r="C5" s="4" t="n">
        <f aca="false" ca="false" dt2D="false" dtr="false" t="normal">MEDIAN('Лист3'!B2:B25)</f>
        <v>6143</v>
      </c>
      <c r="D5" s="4" t="n">
        <f aca="false" ca="false" dt2D="false" dtr="false" t="normal">MEDIAN('Лист3'!C2:C25)</f>
        <v>531440.5</v>
      </c>
    </row>
    <row outlineLevel="0" r="6">
      <c r="A6" s="4" t="s">
        <v>12</v>
      </c>
      <c r="B6" s="4" t="e">
        <f aca="false" ca="false" dt2D="false" dtr="false" t="normal">_XLFN.MODE.SNGL('Лист3'!A2:A25)</f>
        <v>#N/A</v>
      </c>
      <c r="C6" s="4" t="e">
        <f aca="false" ca="false" dt2D="false" dtr="false" t="normal">_XLFN.MODE.SNGL('Лист3'!B2:B25)</f>
        <v>#N/A</v>
      </c>
      <c r="D6" s="4" t="e">
        <f aca="false" ca="false" dt2D="false" dtr="false" t="normal">_XLFN.MODE.SNGL('Лист3'!C2:C25)</f>
        <v>#N/A</v>
      </c>
    </row>
    <row outlineLevel="0" r="7">
      <c r="A7" s="4" t="s">
        <v>13</v>
      </c>
      <c r="B7" s="4" t="n">
        <f aca="false" ca="false" dt2D="false" dtr="false" t="normal">_XLFN.VAR.S('Лист3'!A2:A25)</f>
        <v>50</v>
      </c>
      <c r="C7" s="4" t="n">
        <f aca="false" ca="false" dt2D="false" dtr="false" t="normal">_XLFN.VAR.S('Лист3'!B2:B25)</f>
        <v>14277716453108.805</v>
      </c>
      <c r="D7" s="4" t="n">
        <f aca="false" ca="false" dt2D="false" dtr="false" t="normal">_XLFN.VAR.S('Лист3'!C2:C25)</f>
        <v>8.9165062916110352E+20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n"/>
      <c r="B1" s="4" t="n">
        <v>2021</v>
      </c>
      <c r="C1" s="4" t="n">
        <v>2022</v>
      </c>
      <c r="D1" s="6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outlineLevel="0" r="2">
      <c r="A2" s="4" t="s">
        <v>14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234887</v>
      </c>
      <c r="G2" s="4" t="n">
        <v>1170004</v>
      </c>
      <c r="H2" s="4" t="n">
        <v>2344598</v>
      </c>
    </row>
    <row outlineLevel="0" r="3">
      <c r="A3" s="4" t="s">
        <v>15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323217</v>
      </c>
      <c r="G3" s="4" t="n">
        <v>634423</v>
      </c>
      <c r="H3" s="4" t="n">
        <v>235455</v>
      </c>
    </row>
    <row outlineLevel="0" r="4">
      <c r="A4" s="4" t="s">
        <v>16</v>
      </c>
      <c r="B4" s="4" t="n">
        <v>3211400</v>
      </c>
      <c r="C4" s="4" t="n">
        <v>4873837</v>
      </c>
      <c r="D4" s="4" t="n">
        <v>3654654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outlineLevel="0" r="5">
      <c r="A5" s="4" t="s">
        <v>17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2026-05-21T10:25:35Z</dcterms:created>
  <dcterms:modified xsi:type="dcterms:W3CDTF">2026-05-21T10:25:35Z</dcterms:modified>
</cp:coreProperties>
</file>